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8B4B320-1522-46AF-8A2F-A00B7D8D03AE}" xr6:coauthVersionLast="47" xr6:coauthVersionMax="47" xr10:uidLastSave="{00000000-0000-0000-0000-000000000000}"/>
  <bookViews>
    <workbookView xWindow="-120" yWindow="-120" windowWidth="38640" windowHeight="21120" tabRatio="149" xr2:uid="{00000000-000D-0000-FFFF-FFFF00000000}"/>
  </bookViews>
  <sheets>
    <sheet name="Scenario 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M19" i="1"/>
  <c r="L19" i="1"/>
  <c r="K19" i="1"/>
  <c r="N19" i="1" s="1"/>
  <c r="M18" i="1"/>
  <c r="L18" i="1"/>
  <c r="K18" i="1"/>
  <c r="N18" i="1" s="1"/>
  <c r="M17" i="1"/>
  <c r="K17" i="1"/>
  <c r="N17" i="1" s="1"/>
  <c r="M16" i="1"/>
  <c r="L16" i="1"/>
  <c r="K16" i="1"/>
  <c r="N16" i="1" s="1"/>
  <c r="M15" i="1"/>
  <c r="L15" i="1"/>
  <c r="K15" i="1"/>
  <c r="N15" i="1" s="1"/>
  <c r="M14" i="1"/>
  <c r="L14" i="1"/>
  <c r="K14" i="1"/>
  <c r="N14" i="1" s="1"/>
  <c r="M13" i="1"/>
  <c r="L13" i="1"/>
  <c r="K13" i="1"/>
  <c r="N13" i="1" s="1"/>
  <c r="M12" i="1"/>
  <c r="L12" i="1"/>
  <c r="K12" i="1"/>
  <c r="N12" i="1" s="1"/>
  <c r="M11" i="1"/>
  <c r="L11" i="1"/>
  <c r="K11" i="1"/>
  <c r="N11" i="1" s="1"/>
  <c r="M10" i="1"/>
  <c r="L10" i="1"/>
  <c r="K10" i="1"/>
  <c r="N10" i="1" s="1"/>
  <c r="M9" i="1"/>
  <c r="L9" i="1"/>
  <c r="K9" i="1"/>
  <c r="N9" i="1" s="1"/>
  <c r="M8" i="1"/>
  <c r="L8" i="1"/>
  <c r="K8" i="1"/>
  <c r="N8" i="1" s="1"/>
  <c r="M7" i="1"/>
  <c r="L7" i="1"/>
  <c r="K7" i="1"/>
  <c r="N7" i="1" s="1"/>
  <c r="M6" i="1"/>
  <c r="L6" i="1"/>
  <c r="K6" i="1"/>
  <c r="N6" i="1" s="1"/>
  <c r="M5" i="1"/>
  <c r="L5" i="1"/>
  <c r="K5" i="1"/>
  <c r="N5" i="1" s="1"/>
  <c r="M4" i="1"/>
  <c r="L4" i="1"/>
  <c r="K4" i="1"/>
  <c r="N4" i="1" s="1"/>
</calcChain>
</file>

<file path=xl/sharedStrings.xml><?xml version="1.0" encoding="utf-8"?>
<sst xmlns="http://schemas.openxmlformats.org/spreadsheetml/2006/main" count="214" uniqueCount="187">
  <si>
    <t xml:space="preserve">  SUPPLY CHAIN SCENARIO CLASSIFICATION  —  Updated with GHOST ZERO · STARVE sub-tiers · BLOAT · FLOW · PINCH  ·  10 → 7 Consolidated Reports</t>
  </si>
  <si>
    <t xml:space="preserve">  I = Avg Monthly Sale  ·  II = Last Month Purchase  ·  III = Closing Stock Value  ·  RL (Reorder Level) = I × 2  ·  Column K, L, M, N use live Excel formulas — edit B/C/D to test</t>
  </si>
  <si>
    <t>Code</t>
  </si>
  <si>
    <t>Scenario Name</t>
  </si>
  <si>
    <t>Avg Monthly
Sale — I
(example)</t>
  </si>
  <si>
    <t>Last 1M
Purchase — II
(example)</t>
  </si>
  <si>
    <t>Closing
Stock — III
(example)</t>
  </si>
  <si>
    <t>Identification Formula
(logic)</t>
  </si>
  <si>
    <t>What It Means</t>
  </si>
  <si>
    <t>Trigger
Word</t>
  </si>
  <si>
    <t>Why</t>
  </si>
  <si>
    <t>Salebook Formula
(from original)</t>
  </si>
  <si>
    <t>→ AUTO-CLASSIFY
(live IFS formula)</t>
  </si>
  <si>
    <t>Reorder
Level
(= I×2)</t>
  </si>
  <si>
    <t>Reorder
Triggered?</t>
  </si>
  <si>
    <t>Health
Score</t>
  </si>
  <si>
    <t>★ Report Group
(7 consolidated)</t>
  </si>
  <si>
    <t>PM Action</t>
  </si>
  <si>
    <t>★</t>
  </si>
  <si>
    <t>GHOST ZERO ◀ NEW</t>
  </si>
  <si>
    <t>NIL</t>
  </si>
  <si>
    <t>I = 0  AND  II = 0  AND  III = 0</t>
  </si>
  <si>
    <t>Item exists in Tally but has completely vanished — orphaned entry, possible data error</t>
  </si>
  <si>
    <t>GHOST</t>
  </si>
  <si>
    <t>Disappeared from reality</t>
  </si>
  <si>
    <t>Sale = 0  AND  Pur = 0  AND  CStock = 0</t>
  </si>
  <si>
    <t>R3: DEAD CAPITAL  |  R7: FULL PORTFOLIO</t>
  </si>
  <si>
    <t>Audit Tally entry. Delete if truly orphaned. Check physical count.</t>
  </si>
  <si>
    <t>A</t>
  </si>
  <si>
    <t>INERT</t>
  </si>
  <si>
    <t>I = 0  AND  II = 0  AND  III &gt; 0</t>
  </si>
  <si>
    <t>Non-moving / Dead stock — no sales, no buying, just sitting</t>
  </si>
  <si>
    <t>Ghost</t>
  </si>
  <si>
    <t>Stock on paper</t>
  </si>
  <si>
    <t>Sale = 0  AND  Pur = 0  AND  CStock &gt; 0</t>
  </si>
  <si>
    <t>R3: DEAD CAPITAL  |  R6: RISK WATCH  |  R7: FULL PORTFOLIO</t>
  </si>
  <si>
    <t>Investigate write-off / sell at discount. Block future POs on this item.</t>
  </si>
  <si>
    <t>B</t>
  </si>
  <si>
    <t>ONSET</t>
  </si>
  <si>
    <t>I = 0 , II &lt;= III &lt;= IIx2  AND  II &gt; 0</t>
  </si>
  <si>
    <t>Sales about to begin — trader stocked up anticipating upcoming demand</t>
  </si>
  <si>
    <t>Start is imminent</t>
  </si>
  <si>
    <t>Sale = 0 , CStock &gt;= Pur AND CStock &lt;= Purx2 AND Pur &gt; 0</t>
  </si>
  <si>
    <t>R4: BUYING MISTAKES  |  R7: FULL PORTFOLIO</t>
  </si>
  <si>
    <t>Monitor weekly. Set sales target. Brief sales team on the new stock.</t>
  </si>
  <si>
    <t>C</t>
  </si>
  <si>
    <t>OFF-BOOK</t>
  </si>
  <si>
    <t>I = 0  AND  III &lt; II</t>
  </si>
  <si>
    <t>Stock went negative — purchase was done to cover a negative stock position</t>
  </si>
  <si>
    <t>Off Book
Inventory</t>
  </si>
  <si>
    <t>Stock exists not on paper but in reality</t>
  </si>
  <si>
    <t>Sale = 0  AND  CStock &lt; Pur</t>
  </si>
  <si>
    <t>R3: DEAD CAPITAL  |  R4: BUYING MISTAKES  |  R7: FULL PORTFOLIO</t>
  </si>
  <si>
    <t>Physical audit immediately. Reconcile books. May hide stock theft.</t>
  </si>
  <si>
    <t>D</t>
  </si>
  <si>
    <t>DEAD</t>
  </si>
  <si>
    <t>I = 0 , III &gt; IIx2  AND  II &gt; 0</t>
  </si>
  <si>
    <t>Dead stock still being purchased — item already not moving, trader kept buying anyway</t>
  </si>
  <si>
    <t>Getting fatter with unwanted stock</t>
  </si>
  <si>
    <t>Sale = 0 , CStock &gt; Purx2  AND  Pur &gt; 0</t>
  </si>
  <si>
    <t>STOP all purchases now. Plan clearance sale. Review who approved last PO.</t>
  </si>
  <si>
    <t>E</t>
  </si>
  <si>
    <t>BLAZE</t>
  </si>
  <si>
    <t>III = 0, I &gt; II AND I &lt; IIx2</t>
  </si>
  <si>
    <t>Fastest moving inventory — selling and buying simultaneously, zero buffer</t>
  </si>
  <si>
    <t>On fire, burns through instantly</t>
  </si>
  <si>
    <t>CStock = 0, Sale &gt; Pur AND Sale &lt; Purx2</t>
  </si>
  <si>
    <t>R2: HERO SKU HEALTH  |  R7: FULL PORTFOLIO</t>
  </si>
  <si>
    <t>Never let stock hit zero. Auto-reorder. This is a hero SKU — protect it.</t>
  </si>
  <si>
    <t>F</t>
  </si>
  <si>
    <t>TAPER</t>
  </si>
  <si>
    <t>III = 0  AND  IIx2 &lt; I</t>
  </si>
  <si>
    <t>Item intentionally being reduced — end state, consciously exiting this SKU</t>
  </si>
  <si>
    <t>Consciously winding down</t>
  </si>
  <si>
    <t>CStock = 0  AND  Sale &gt; Purx2</t>
  </si>
  <si>
    <t>R5: WIND-DOWN  |  R7: FULL PORTFOLIO</t>
  </si>
  <si>
    <t>Confirm exit is intentional. Clear remaining stock. Do not reorder.</t>
  </si>
  <si>
    <t>G</t>
  </si>
  <si>
    <t>SURGE</t>
  </si>
  <si>
    <t>III = 0, Ix1.5 &lt; II AND Ix3 &gt; II</t>
  </si>
  <si>
    <t>High demand item — can't keep it on shelves despite heavy purchasing</t>
  </si>
  <si>
    <t>Demand overwhelming supply</t>
  </si>
  <si>
    <t>CStock = 0, Pur &gt; Salex1.5 AND Pur &lt; Salex3</t>
  </si>
  <si>
    <t>R1: ACT NOW  |  R2: HERO SKU HEALTH  |  R7: FULL PORTFOLIO</t>
  </si>
  <si>
    <t>Emergency reorder. Increase PO frequency. This demand is real — meet it.</t>
  </si>
  <si>
    <t>H</t>
  </si>
  <si>
    <t>DRAIN</t>
  </si>
  <si>
    <t>I &gt; 0  AND  II = 0  AND  III &gt; I</t>
  </si>
  <si>
    <t>Item intentionally being reduced — mid wind-down, still liquidating</t>
  </si>
  <si>
    <t>Slowly emptying out</t>
  </si>
  <si>
    <t>Sale &gt; 0  AND  Pur = 0  AND  CStock &gt; Sale</t>
  </si>
  <si>
    <t>R5: WIND-DOWN  |  R6: RISK WATCH  |  R7: FULL PORTFOLIO</t>
  </si>
  <si>
    <t>Set a reorder calendar reminder. Confirm if wind-down is intentional.</t>
  </si>
  <si>
    <t>I</t>
  </si>
  <si>
    <t>STARVE  [parent — see sub-tiers below]</t>
  </si>
  <si>
    <t>500 or less</t>
  </si>
  <si>
    <t>I &gt; 0  AND  II = 0  AND  III &lt;= I</t>
  </si>
  <si>
    <t>Very high demand, under-purchased — nearly out of stock despite proven demand</t>
  </si>
  <si>
    <t>STARVE</t>
  </si>
  <si>
    <t>Hungry market, empty hands</t>
  </si>
  <si>
    <t>Sale &gt; 0  AND  Pur = 0  AND  CStock &lt;= Sale</t>
  </si>
  <si>
    <t>R1: ACT NOW  |  R7: FULL PORTFOLIO</t>
  </si>
  <si>
    <t>Immediate reorder required. Risk of lost sales.</t>
  </si>
  <si>
    <t>I-a</t>
  </si>
  <si>
    <t xml:space="preserve">    ↳ STARVE — ZERO  (sub-tier) ◀ NEW</t>
  </si>
  <si>
    <t>I &gt; 0  AND  II = 0  AND  III = 0</t>
  </si>
  <si>
    <t>Complete stockout with active demand. Lost sales happening RIGHT NOW.</t>
  </si>
  <si>
    <t>STARVE
ZERO</t>
  </si>
  <si>
    <t>Stock gone, demand alive</t>
  </si>
  <si>
    <t>Sale &gt; 0  AND  Pur = 0  AND  CStock = 0</t>
  </si>
  <si>
    <t>LOST SALES TODAY. Call supplier. Emergency PO immediately.</t>
  </si>
  <si>
    <t>I-b</t>
  </si>
  <si>
    <t xml:space="preserve">    ↳ STARVE — CRITICAL  (sub-tier) ◀ NEW</t>
  </si>
  <si>
    <t>I &gt; 0  AND  II = 0  AND  0 &lt; III &lt; I÷2</t>
  </si>
  <si>
    <t>Less than 15 days of stock remaining. Emergency reorder — escalate to owner immediately.</t>
  </si>
  <si>
    <t>STARVE
CRITICAL</t>
  </si>
  <si>
    <t>Days away from stockout</t>
  </si>
  <si>
    <t>Sale &gt; 0  AND  Pur = 0  AND  0 &lt; CStock &lt; Sale/2</t>
  </si>
  <si>
    <t>Raise emergency PO within 24 hrs. Escalate to owner.</t>
  </si>
  <si>
    <t>I-c</t>
  </si>
  <si>
    <t xml:space="preserve">    ↳ STARVE — WATCH  (sub-tier) ◀ NEW</t>
  </si>
  <si>
    <t>I &gt; 0  AND  II = 0  AND  I÷2 &lt;= III &lt;= I</t>
  </si>
  <si>
    <t>15–30 days of stock. Reorder within the week. Not a fire drill but do not wait.</t>
  </si>
  <si>
    <t>STARVE
WATCH</t>
  </si>
  <si>
    <t>Time is running short</t>
  </si>
  <si>
    <t>Sale &gt; 0  AND  Pur = 0  AND  Sale/2 &lt;= CStock &lt;= Sale</t>
  </si>
  <si>
    <t>Place reorder this week. Do not wait for end-of-month review.</t>
  </si>
  <si>
    <t>J</t>
  </si>
  <si>
    <t>BLOAT ◀ NEW</t>
  </si>
  <si>
    <t>Buying while already massively overstocked. Cash trapped in slow-moving excess. Storage cost risk.</t>
  </si>
  <si>
    <t>BLOAT</t>
  </si>
  <si>
    <t>Drowning in unwanted stock</t>
  </si>
  <si>
    <t>Sale &gt; 0, Pur &gt; 0, CStock &gt; Salex4  (i.e. &gt; 2× Reorder Level)</t>
  </si>
  <si>
    <t>R3: DEAD CAPITAL  |  R4: BUYING MISTAKES  |  R6: RISK WATCH  |  R7: FULL PORTFOLIO</t>
  </si>
  <si>
    <t>Suspend all POs for this item. Push sales team to liquidate excess. Review buyer.</t>
  </si>
  <si>
    <t>K</t>
  </si>
  <si>
    <t>FLOW ◀ NEW</t>
  </si>
  <si>
    <t>Healthy, balanced operating state. Buying and selling, stock between safety and excess. Target state.</t>
  </si>
  <si>
    <t>FLOW</t>
  </si>
  <si>
    <t>Smooth, healthy operation</t>
  </si>
  <si>
    <t>Sale &gt; 0, Pur &gt; 0, RL &lt;= CStock &lt;= 2×RL  (i.e. 2×I to 4×I)</t>
  </si>
  <si>
    <t>No action needed. Monitor monthly. This is the target state for all SKUs.</t>
  </si>
  <si>
    <t>L</t>
  </si>
  <si>
    <t>PINCH ◀ NEW</t>
  </si>
  <si>
    <t>Still buying but not fast enough — stock slipping below safety level. Risk of sliding into STARVE.</t>
  </si>
  <si>
    <t>PINCH</t>
  </si>
  <si>
    <t>Supply lagging demand</t>
  </si>
  <si>
    <t>Sale &gt; 0, Pur &gt; 0, 0 &lt; CStock &lt; RL  (i.e. &lt; 2×I)</t>
  </si>
  <si>
    <t>R1: ACT NOW  |  R6: RISK WATCH  |  R7: FULL PORTFOLIO</t>
  </si>
  <si>
    <t>Increase PO quantity or frequency immediately. At risk of becoming STARVE.</t>
  </si>
  <si>
    <t xml:space="preserve">  ★  7 CONSOLIDATED REPORTS  —  Definition &amp; Coverage  (10 original reports merged into 7 actionable PM views)</t>
  </si>
  <si>
    <t>Report ID</t>
  </si>
  <si>
    <t>Report Name</t>
  </si>
  <si>
    <t>Scenarios Covered</t>
  </si>
  <si>
    <t>What This Report Tells You</t>
  </si>
  <si>
    <t>R1</t>
  </si>
  <si>
    <t>ACT NOW</t>
  </si>
  <si>
    <t>SURGE (G) · PINCH (L) · STARVE-ZERO (I-a) · STARVE-CRITICAL (I-b) · STARVE-WATCH (I-c)</t>
  </si>
  <si>
    <t>Items at risk of lost sales. Reorder required immediately or within days. Highest revenue impact.</t>
  </si>
  <si>
    <t>R2</t>
  </si>
  <si>
    <t>HERO SKU HEALTH</t>
  </si>
  <si>
    <t>BLAZE (E) · SURGE (G) · FLOW (K)</t>
  </si>
  <si>
    <t>Top-performing items driving revenue. Protect at all costs. Never let them stock out.</t>
  </si>
  <si>
    <t>R3</t>
  </si>
  <si>
    <t>DEAD CAPITAL</t>
  </si>
  <si>
    <t>GHOST ZERO (★) · INERT (A) · OFF-BOOK (C) · DEAD (D) · BLOAT (J)</t>
  </si>
  <si>
    <t>Capital locked with zero or negative returns. Liquidate, write off, or audit. Sort by ₹ value.</t>
  </si>
  <si>
    <t>R4</t>
  </si>
  <si>
    <t>BUYING MISTAKES</t>
  </si>
  <si>
    <t>ONSET (B) · OFF-BOOK (C) · DEAD (D) · BLOAT (J)</t>
  </si>
  <si>
    <t>Items where purchasing happened without sales justification. Stop the bleed. Review buyer decisions.</t>
  </si>
  <si>
    <t>R5</t>
  </si>
  <si>
    <t>WIND-DOWN</t>
  </si>
  <si>
    <t>TAPER (F) · DRAIN (H)</t>
  </si>
  <si>
    <t>Items clearing out intentionally or by neglect. Track days-to-clear. Decide: recommit or exit cleanly.</t>
  </si>
  <si>
    <t>R6</t>
  </si>
  <si>
    <t>RISK WATCH</t>
  </si>
  <si>
    <t>INERT (A) — seasonal · DRAIN (H) · BLOAT (J) · PINCH (L)</t>
  </si>
  <si>
    <t>Items that need monitoring but not emergency action. Seasonal demand check. Cash flow exposure.</t>
  </si>
  <si>
    <t>R7</t>
  </si>
  <si>
    <t>FULL PORTFOLIO HEALTH</t>
  </si>
  <si>
    <t>ALL scenarios (A–L + GHOST ZERO)</t>
  </si>
  <si>
    <t>Complete scored view. Health score 1–100. Sort ascending to find worst items first.</t>
  </si>
  <si>
    <t xml:space="preserve">  ★  HOW TO USE: (1) Change values in columns C (I), D (II), E (III) on any row — column K auto-classifies, columns L/M/N update.  (2) Column O shows exactly which of the 7 reports that scenario feeds into. (3) Filter on column O to build each report view.  (4) New scenarios marked ◀ NEW are proposed extensions — not in original system.</t>
  </si>
  <si>
    <t>I &gt; 0  AND  II &gt; 0  AND  III &gt; 4×I</t>
  </si>
  <si>
    <t xml:space="preserve">I &gt; 0  AND  II &gt; 0  AND  2×I &lt;= III &lt;= 4×I  </t>
  </si>
  <si>
    <t xml:space="preserve">I &gt; 0  AND  II &gt; 0  AND  0 &lt; III &lt; 2×I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</si>
</sst>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color rgb="FF888888"/>
      <name val="Calibri"/>
      <family val="2"/>
    </font>
    <font>
      <b/>
      <sz val="8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111111"/>
      <name val="Calibri"/>
      <family val="2"/>
    </font>
    <font>
      <sz val="9"/>
      <color rgb="FF333333"/>
      <name val="Calibri"/>
      <family val="2"/>
    </font>
    <font>
      <b/>
      <sz val="9"/>
      <color rgb="FF1F3A5F"/>
      <name val="Calibri"/>
      <family val="2"/>
    </font>
    <font>
      <sz val="9"/>
      <color rgb="FF555555"/>
      <name val="Calibri"/>
      <family val="2"/>
    </font>
    <font>
      <sz val="9"/>
      <color rgb="FF444444"/>
      <name val="Calibri"/>
      <family val="2"/>
    </font>
    <font>
      <b/>
      <sz val="9"/>
      <color rgb="FF0D47A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8"/>
      <color rgb="FFB71C1C"/>
      <name val="Calibri"/>
      <family val="2"/>
    </font>
    <font>
      <b/>
      <sz val="8"/>
      <color rgb="FFE65100"/>
      <name val="Calibri"/>
      <family val="2"/>
    </font>
    <font>
      <b/>
      <sz val="8"/>
      <color rgb="FF2E7D32"/>
      <name val="Calibri"/>
      <family val="2"/>
    </font>
    <font>
      <b/>
      <sz val="8"/>
      <color rgb="FFF57F17"/>
      <name val="Calibri"/>
      <family val="2"/>
    </font>
    <font>
      <b/>
      <sz val="8"/>
      <color rgb="FF1B5E20"/>
      <name val="Calibri"/>
      <family val="2"/>
    </font>
    <font>
      <sz val="8"/>
      <color rgb="FF333333"/>
      <name val="Calibri"/>
      <family val="2"/>
    </font>
    <font>
      <b/>
      <sz val="8"/>
      <color rgb="FF1F3A5F"/>
      <name val="Calibri"/>
      <family val="2"/>
    </font>
    <font>
      <i/>
      <sz val="8"/>
      <color rgb="FF555555"/>
      <name val="Calibri"/>
      <family val="2"/>
    </font>
    <font>
      <sz val="8"/>
      <color rgb="FF444444"/>
      <name val="Calibri"/>
      <family val="2"/>
    </font>
    <font>
      <b/>
      <sz val="10"/>
      <color rgb="FFFFFFFF"/>
      <name val="Calibri"/>
      <family val="2"/>
    </font>
    <font>
      <b/>
      <sz val="9"/>
      <color rgb="FF1B5E20"/>
      <name val="Calibri"/>
      <family val="2"/>
    </font>
    <font>
      <b/>
      <sz val="9"/>
      <color rgb="FF2E7D32"/>
      <name val="Calibri"/>
      <family val="2"/>
    </font>
    <font>
      <b/>
      <sz val="9"/>
      <color rgb="FFB71C1C"/>
      <name val="Calibri"/>
      <family val="2"/>
    </font>
    <font>
      <b/>
      <sz val="9"/>
      <color rgb="FFE65100"/>
      <name val="Calibri"/>
      <family val="2"/>
    </font>
    <font>
      <b/>
      <sz val="9"/>
      <color rgb="FFF57F17"/>
      <name val="Calibri"/>
      <family val="2"/>
    </font>
    <font>
      <b/>
      <sz val="9"/>
      <color rgb="FF4A148C"/>
      <name val="Calibri"/>
      <family val="2"/>
    </font>
    <font>
      <sz val="8"/>
      <color rgb="FF0D47A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0D1F2D"/>
      </patternFill>
    </fill>
    <fill>
      <patternFill patternType="solid">
        <fgColor rgb="FF1F3A5F"/>
      </patternFill>
    </fill>
    <fill>
      <patternFill patternType="solid">
        <fgColor rgb="FF0D47A1"/>
      </patternFill>
    </fill>
    <fill>
      <patternFill patternType="solid">
        <fgColor rgb="FF607D8B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FF8F00"/>
      </patternFill>
    </fill>
    <fill>
      <patternFill patternType="solid">
        <fgColor rgb="FFFFF8E1"/>
      </patternFill>
    </fill>
    <fill>
      <patternFill patternType="solid">
        <fgColor rgb="FF4CAF50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7043"/>
      </patternFill>
    </fill>
    <fill>
      <patternFill patternType="solid">
        <fgColor rgb="FFFBE9E7"/>
      </patternFill>
    </fill>
    <fill>
      <patternFill patternType="solid">
        <fgColor rgb="FFF44336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FFCDD2"/>
      </patternFill>
    </fill>
    <fill>
      <patternFill patternType="solid">
        <fgColor rgb="FFC62828"/>
      </patternFill>
    </fill>
    <fill>
      <patternFill patternType="solid">
        <fgColor rgb="FFD32F2F"/>
      </patternFill>
    </fill>
    <fill>
      <patternFill patternType="solid">
        <fgColor rgb="FF4A148C"/>
      </patternFill>
    </fill>
    <fill>
      <patternFill patternType="solid">
        <fgColor rgb="FFEDE7F6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1565C0"/>
      </patternFill>
    </fill>
    <fill>
      <patternFill patternType="solid">
        <fgColor rgb="FF37474F"/>
      </patternFill>
    </fill>
    <fill>
      <patternFill patternType="solid">
        <fgColor rgb="FFFAFAFA"/>
      </patternFill>
    </fill>
    <fill>
      <patternFill patternType="solid">
        <fgColor rgb="FFF3E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3A5F"/>
      </left>
      <right style="medium">
        <color rgb="FF1F3A5F"/>
      </right>
      <top style="medium">
        <color rgb="FF1F3A5F"/>
      </top>
      <bottom style="medium">
        <color rgb="FF1F3A5F"/>
      </bottom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left" vertical="center" wrapText="1"/>
    </xf>
    <xf numFmtId="0" fontId="18" fillId="22" borderId="1" xfId="0" applyFont="1" applyFill="1" applyBorder="1" applyAlignment="1">
      <alignment horizontal="left" vertical="center" wrapText="1"/>
    </xf>
    <xf numFmtId="0" fontId="20" fillId="22" borderId="1" xfId="0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9" fillId="26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left" vertical="center" wrapText="1"/>
    </xf>
    <xf numFmtId="0" fontId="9" fillId="28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center" vertical="center"/>
    </xf>
    <xf numFmtId="0" fontId="12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8" fillId="32" borderId="1" xfId="0" applyFont="1" applyFill="1" applyBorder="1" applyAlignment="1">
      <alignment horizontal="center" vertical="center" wrapText="1"/>
    </xf>
    <xf numFmtId="0" fontId="28" fillId="3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2" fillId="3" borderId="0" xfId="0" applyFont="1" applyFill="1" applyAlignment="1">
      <alignment horizontal="left" vertical="center"/>
    </xf>
    <xf numFmtId="0" fontId="29" fillId="7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26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showGridLines="0" tabSelected="1" zoomScale="120" zoomScaleNormal="120" workbookViewId="0">
      <pane ySplit="3" topLeftCell="A11" activePane="bottomLeft" state="frozen"/>
      <selection pane="bottomLeft" activeCell="F19" sqref="F19"/>
    </sheetView>
  </sheetViews>
  <sheetFormatPr defaultRowHeight="15" x14ac:dyDescent="0.25"/>
  <cols>
    <col min="1" max="1" width="7.7109375" bestFit="1" customWidth="1"/>
    <col min="2" max="2" width="28" customWidth="1"/>
    <col min="3" max="3" width="34.42578125" bestFit="1" customWidth="1"/>
    <col min="4" max="4" width="43.42578125" bestFit="1" customWidth="1"/>
    <col min="5" max="5" width="8" customWidth="1"/>
    <col min="6" max="6" width="36" customWidth="1"/>
    <col min="7" max="7" width="40" customWidth="1"/>
    <col min="8" max="8" width="10" customWidth="1"/>
    <col min="9" max="9" width="22" customWidth="1"/>
    <col min="10" max="10" width="36" customWidth="1"/>
    <col min="11" max="11" width="18" customWidth="1"/>
    <col min="12" max="12" width="8" customWidth="1"/>
    <col min="13" max="13" width="10" customWidth="1"/>
    <col min="14" max="14" width="8" customWidth="1"/>
    <col min="15" max="15" width="34" customWidth="1"/>
    <col min="16" max="16" width="46" customWidth="1"/>
  </cols>
  <sheetData>
    <row r="1" spans="1:16" ht="26.1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16" ht="14.1" customHeight="1" x14ac:dyDescent="0.25">
      <c r="A2" s="146" t="s">
        <v>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</row>
    <row r="3" spans="1:16" ht="4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2" t="s">
        <v>16</v>
      </c>
      <c r="P3" s="1" t="s">
        <v>17</v>
      </c>
    </row>
    <row r="4" spans="1:16" ht="42" customHeight="1" x14ac:dyDescent="0.25">
      <c r="A4" s="3" t="s">
        <v>18</v>
      </c>
      <c r="B4" s="4" t="s">
        <v>19</v>
      </c>
      <c r="C4" s="5" t="s">
        <v>20</v>
      </c>
      <c r="D4" s="5" t="s">
        <v>20</v>
      </c>
      <c r="E4" s="5" t="s">
        <v>20</v>
      </c>
      <c r="F4" s="6" t="s">
        <v>21</v>
      </c>
      <c r="G4" s="7" t="s">
        <v>22</v>
      </c>
      <c r="H4" s="8" t="s">
        <v>23</v>
      </c>
      <c r="I4" s="9" t="s">
        <v>24</v>
      </c>
      <c r="J4" s="10" t="s">
        <v>25</v>
      </c>
      <c r="K4" s="11" t="str">
        <f ca="1">IFERROR(_xludf.IFS(AND(B4=0,C4=0,D4=0),"★ GHOST ZERO",AND(B4=0,C4=0,D4&gt;0),"A - INERT",AND(B4=0,C4&gt;0,D4&gt;=C4,D4&lt;=C4*2),"B - ONSET",AND(B4=0,C4&gt;0,D4&lt;C4),"C - OFF-BOOK",AND(B4=0,C4&gt;0,D4&gt;C4*2),"D - DEAD",AND(B4&gt;0,D4=0,C4&gt;0,B4&gt;C4,B4&lt;C4*2),"E - BLAZE",AND(B4&gt;0,D4=0,B4&gt;C4*2),"F - TAPER",AND(B4&gt;0,D4=0,C4&gt;B4*1.5,C4&lt;B4*3),"G - SURGE",AND(B4&gt;0,C4=0,D4&gt;B4),"H - DRAIN",AND(B4&gt;0,C4=0,D4=0),"I-a STARVE-ZERO",AND(B4&gt;0,C4=0,D4&gt;0,D4&lt;B4/2),"I-b STARVE-CRITICAL",AND(B4&gt;0,C4=0,D4&gt;=B4/2,D4&lt;=B4),"I-c STARVE-WATCH",AND(B4&gt;0,C4&gt;0,D4&gt;B4*4),"J - BLOAT",AND(B4&gt;0,C4&gt;0,D4&gt;=B4*2,D4&lt;=B4*4),"K - FLOW",AND(B4&gt;0,C4&gt;0,D4&gt;0,D4&lt;B4*2),"L - PINCH",TRUE,"? - CHECK DATA"),"? - ERROR")</f>
        <v>? - ERROR</v>
      </c>
      <c r="L4" s="12" t="e">
        <f t="shared" ref="L4:L19" si="0">IF(B4&gt;0,B4*2,"-")</f>
        <v>#VALUE!</v>
      </c>
      <c r="M4" s="12" t="e">
        <f t="shared" ref="M4:M19" si="1">IF(B4&gt;0,IF(D4&lt;=B4*2,"YES ⚡","No"),"-")</f>
        <v>#VALUE!</v>
      </c>
      <c r="N4" s="13" t="e">
        <f t="shared" ref="N4:N19" ca="1" si="2">MAX(1,MIN(100,IF(OR(K4="E - BLAZE",K4="G - SURGE",K4="B - ONSET",K4="K - FLOW",K4="L - PINCH"),40,0)+IF(AND(B4&gt;0,D4&gt;B4*2),20,0)+IF(B4&gt;0,20,0)+IF(OR(K4="D - DEAD",K4="C - OFF-BOOK",K4="★ GHOST ZERO"),-30,0)+IF(OR(K4="A - INERT",K4="H - DRAIN",K4="J - BLOAT"),-20,0)+IF(AND(B4&gt;0,D4&lt;=B4*2),-10,0)))</f>
        <v>#VALUE!</v>
      </c>
      <c r="O4" s="14" t="s">
        <v>26</v>
      </c>
      <c r="P4" s="7" t="s">
        <v>27</v>
      </c>
    </row>
    <row r="5" spans="1:16" ht="42" customHeight="1" x14ac:dyDescent="0.25">
      <c r="A5" s="15" t="s">
        <v>28</v>
      </c>
      <c r="B5" s="16" t="s">
        <v>29</v>
      </c>
      <c r="C5" s="17" t="s">
        <v>20</v>
      </c>
      <c r="D5" s="17" t="s">
        <v>20</v>
      </c>
      <c r="E5" s="17">
        <v>2000</v>
      </c>
      <c r="F5" s="18" t="s">
        <v>30</v>
      </c>
      <c r="G5" s="19" t="s">
        <v>31</v>
      </c>
      <c r="H5" s="20" t="s">
        <v>32</v>
      </c>
      <c r="I5" s="21" t="s">
        <v>33</v>
      </c>
      <c r="J5" s="22" t="s">
        <v>34</v>
      </c>
      <c r="K5" s="11" t="str">
        <f ca="1">IFERROR(_xludf.IFS(AND(B5=0,C5=0,D5=0),"★ GHOST ZERO",AND(B5=0,C5=0,D5&gt;0),"A - INERT",AND(B5=0,C5&gt;0,D5&gt;=C5,D5&lt;=C5*2),"B - ONSET",AND(B5=0,C5&gt;0,D5&lt;C5),"C - OFF-BOOK",AND(B5=0,C5&gt;0,D5&gt;C5*2),"D - DEAD",AND(B5&gt;0,D5=0,C5&gt;0,B5&gt;C5,B5&lt;C5*2),"E - BLAZE",AND(B5&gt;0,D5=0,B5&gt;C5*2),"F - TAPER",AND(B5&gt;0,D5=0,C5&gt;B5*1.5,C5&lt;B5*3),"G - SURGE",AND(B5&gt;0,C5=0,D5&gt;B5),"H - DRAIN",AND(B5&gt;0,C5=0,D5=0),"I-a STARVE-ZERO",AND(B5&gt;0,C5=0,D5&gt;0,D5&lt;B5/2),"I-b STARVE-CRITICAL",AND(B5&gt;0,C5=0,D5&gt;=B5/2,D5&lt;=B5),"I-c STARVE-WATCH",AND(B5&gt;0,C5&gt;0,D5&gt;B5*4),"J - BLOAT",AND(B5&gt;0,C5&gt;0,D5&gt;=B5*2,D5&lt;=B5*4),"K - FLOW",AND(B5&gt;0,C5&gt;0,D5&gt;0,D5&lt;B5*2),"L - PINCH",TRUE,"? - CHECK DATA"),"? - ERROR")</f>
        <v>? - ERROR</v>
      </c>
      <c r="L5" s="23" t="e">
        <f t="shared" si="0"/>
        <v>#VALUE!</v>
      </c>
      <c r="M5" s="23" t="e">
        <f t="shared" si="1"/>
        <v>#VALUE!</v>
      </c>
      <c r="N5" s="24" t="e">
        <f t="shared" ca="1" si="2"/>
        <v>#VALUE!</v>
      </c>
      <c r="O5" s="14" t="s">
        <v>35</v>
      </c>
      <c r="P5" s="19" t="s">
        <v>36</v>
      </c>
    </row>
    <row r="6" spans="1:16" ht="42" customHeight="1" x14ac:dyDescent="0.25">
      <c r="A6" s="25" t="s">
        <v>37</v>
      </c>
      <c r="B6" s="26" t="s">
        <v>38</v>
      </c>
      <c r="C6" s="27" t="s">
        <v>20</v>
      </c>
      <c r="D6" s="27">
        <v>2000</v>
      </c>
      <c r="E6" s="27">
        <v>2000</v>
      </c>
      <c r="F6" s="28" t="s">
        <v>39</v>
      </c>
      <c r="G6" s="29" t="s">
        <v>40</v>
      </c>
      <c r="H6" s="30" t="s">
        <v>38</v>
      </c>
      <c r="I6" s="31" t="s">
        <v>41</v>
      </c>
      <c r="J6" s="32" t="s">
        <v>42</v>
      </c>
      <c r="K6" s="11" t="str">
        <f ca="1">IFERROR(_xludf.IFS(AND(B6=0,C6=0,D6=0),"★ GHOST ZERO",AND(B6=0,C6=0,D6&gt;0),"A - INERT",AND(B6=0,C6&gt;0,D6&gt;=C6,D6&lt;=C6*2),"B - ONSET",AND(B6=0,C6&gt;0,D6&lt;C6),"C - OFF-BOOK",AND(B6=0,C6&gt;0,D6&gt;C6*2),"D - DEAD",AND(B6&gt;0,D6=0,C6&gt;0,B6&gt;C6,B6&lt;C6*2),"E - BLAZE",AND(B6&gt;0,D6=0,B6&gt;C6*2),"F - TAPER",AND(B6&gt;0,D6=0,C6&gt;B6*1.5,C6&lt;B6*3),"G - SURGE",AND(B6&gt;0,C6=0,D6&gt;B6),"H - DRAIN",AND(B6&gt;0,C6=0,D6=0),"I-a STARVE-ZERO",AND(B6&gt;0,C6=0,D6&gt;0,D6&lt;B6/2),"I-b STARVE-CRITICAL",AND(B6&gt;0,C6=0,D6&gt;=B6/2,D6&lt;=B6),"I-c STARVE-WATCH",AND(B6&gt;0,C6&gt;0,D6&gt;B6*4),"J - BLOAT",AND(B6&gt;0,C6&gt;0,D6&gt;=B6*2,D6&lt;=B6*4),"K - FLOW",AND(B6&gt;0,C6&gt;0,D6&gt;0,D6&lt;B6*2),"L - PINCH",TRUE,"? - CHECK DATA"),"? - ERROR")</f>
        <v>? - ERROR</v>
      </c>
      <c r="L6" s="33" t="e">
        <f t="shared" si="0"/>
        <v>#VALUE!</v>
      </c>
      <c r="M6" s="33" t="e">
        <f t="shared" si="1"/>
        <v>#VALUE!</v>
      </c>
      <c r="N6" s="34" t="e">
        <f t="shared" ca="1" si="2"/>
        <v>#VALUE!</v>
      </c>
      <c r="O6" s="35" t="s">
        <v>43</v>
      </c>
      <c r="P6" s="29" t="s">
        <v>44</v>
      </c>
    </row>
    <row r="7" spans="1:16" ht="42" customHeight="1" x14ac:dyDescent="0.25">
      <c r="A7" s="36" t="s">
        <v>45</v>
      </c>
      <c r="B7" s="37" t="s">
        <v>46</v>
      </c>
      <c r="C7" s="38" t="s">
        <v>20</v>
      </c>
      <c r="D7" s="38">
        <v>2000</v>
      </c>
      <c r="E7" s="38">
        <v>1000</v>
      </c>
      <c r="F7" s="39" t="s">
        <v>47</v>
      </c>
      <c r="G7" s="40" t="s">
        <v>48</v>
      </c>
      <c r="H7" s="41" t="s">
        <v>49</v>
      </c>
      <c r="I7" s="42" t="s">
        <v>50</v>
      </c>
      <c r="J7" s="43" t="s">
        <v>51</v>
      </c>
      <c r="K7" s="11" t="str">
        <f ca="1">IFERROR(_xludf.IFS(AND(B7=0,C7=0,D7=0),"★ GHOST ZERO",AND(B7=0,C7=0,D7&gt;0),"A - INERT",AND(B7=0,C7&gt;0,D7&gt;=C7,D7&lt;=C7*2),"B - ONSET",AND(B7=0,C7&gt;0,D7&lt;C7),"C - OFF-BOOK",AND(B7=0,C7&gt;0,D7&gt;C7*2),"D - DEAD",AND(B7&gt;0,D7=0,C7&gt;0,B7&gt;C7,B7&lt;C7*2),"E - BLAZE",AND(B7&gt;0,D7=0,B7&gt;C7*2),"F - TAPER",AND(B7&gt;0,D7=0,C7&gt;B7*1.5,C7&lt;B7*3),"G - SURGE",AND(B7&gt;0,C7=0,D7&gt;B7),"H - DRAIN",AND(B7&gt;0,C7=0,D7=0),"I-a STARVE-ZERO",AND(B7&gt;0,C7=0,D7&gt;0,D7&lt;B7/2),"I-b STARVE-CRITICAL",AND(B7&gt;0,C7=0,D7&gt;=B7/2,D7&lt;=B7),"I-c STARVE-WATCH",AND(B7&gt;0,C7&gt;0,D7&gt;B7*4),"J - BLOAT",AND(B7&gt;0,C7&gt;0,D7&gt;=B7*2,D7&lt;=B7*4),"K - FLOW",AND(B7&gt;0,C7&gt;0,D7&gt;0,D7&lt;B7*2),"L - PINCH",TRUE,"? - CHECK DATA"),"? - ERROR")</f>
        <v>? - ERROR</v>
      </c>
      <c r="L7" s="44" t="e">
        <f t="shared" si="0"/>
        <v>#VALUE!</v>
      </c>
      <c r="M7" s="44" t="e">
        <f t="shared" si="1"/>
        <v>#VALUE!</v>
      </c>
      <c r="N7" s="45" t="e">
        <f t="shared" ca="1" si="2"/>
        <v>#VALUE!</v>
      </c>
      <c r="O7" s="14" t="s">
        <v>52</v>
      </c>
      <c r="P7" s="40" t="s">
        <v>53</v>
      </c>
    </row>
    <row r="8" spans="1:16" ht="42" customHeight="1" x14ac:dyDescent="0.25">
      <c r="A8" s="46" t="s">
        <v>54</v>
      </c>
      <c r="B8" s="47" t="s">
        <v>55</v>
      </c>
      <c r="C8" s="48" t="s">
        <v>20</v>
      </c>
      <c r="D8" s="48">
        <v>2000</v>
      </c>
      <c r="E8" s="48">
        <v>3000</v>
      </c>
      <c r="F8" s="49" t="s">
        <v>56</v>
      </c>
      <c r="G8" s="50" t="s">
        <v>57</v>
      </c>
      <c r="H8" s="51" t="s">
        <v>55</v>
      </c>
      <c r="I8" s="52" t="s">
        <v>58</v>
      </c>
      <c r="J8" s="53" t="s">
        <v>59</v>
      </c>
      <c r="K8" s="11" t="str">
        <f ca="1">IFERROR(_xludf.IFS(AND(B8=0,C8=0,D8=0),"★ GHOST ZERO",AND(B8=0,C8=0,D8&gt;0),"A - INERT",AND(B8=0,C8&gt;0,D8&gt;=C8,D8&lt;=C8*2),"B - ONSET",AND(B8=0,C8&gt;0,D8&lt;C8),"C - OFF-BOOK",AND(B8=0,C8&gt;0,D8&gt;C8*2),"D - DEAD",AND(B8&gt;0,D8=0,C8&gt;0,B8&gt;C8,B8&lt;C8*2),"E - BLAZE",AND(B8&gt;0,D8=0,B8&gt;C8*2),"F - TAPER",AND(B8&gt;0,D8=0,C8&gt;B8*1.5,C8&lt;B8*3),"G - SURGE",AND(B8&gt;0,C8=0,D8&gt;B8),"H - DRAIN",AND(B8&gt;0,C8=0,D8=0),"I-a STARVE-ZERO",AND(B8&gt;0,C8=0,D8&gt;0,D8&lt;B8/2),"I-b STARVE-CRITICAL",AND(B8&gt;0,C8=0,D8&gt;=B8/2,D8&lt;=B8),"I-c STARVE-WATCH",AND(B8&gt;0,C8&gt;0,D8&gt;B8*4),"J - BLOAT",AND(B8&gt;0,C8&gt;0,D8&gt;=B8*2,D8&lt;=B8*4),"K - FLOW",AND(B8&gt;0,C8&gt;0,D8&gt;0,D8&lt;B8*2),"L - PINCH",TRUE,"? - CHECK DATA"),"? - ERROR")</f>
        <v>? - ERROR</v>
      </c>
      <c r="L8" s="54" t="e">
        <f t="shared" si="0"/>
        <v>#VALUE!</v>
      </c>
      <c r="M8" s="54" t="e">
        <f t="shared" si="1"/>
        <v>#VALUE!</v>
      </c>
      <c r="N8" s="55" t="e">
        <f t="shared" ca="1" si="2"/>
        <v>#VALUE!</v>
      </c>
      <c r="O8" s="14" t="s">
        <v>52</v>
      </c>
      <c r="P8" s="50" t="s">
        <v>60</v>
      </c>
    </row>
    <row r="9" spans="1:16" ht="42" customHeight="1" x14ac:dyDescent="0.25">
      <c r="A9" s="56" t="s">
        <v>61</v>
      </c>
      <c r="B9" s="57" t="s">
        <v>62</v>
      </c>
      <c r="C9" s="58">
        <v>1000</v>
      </c>
      <c r="D9" s="58">
        <v>1000</v>
      </c>
      <c r="E9" s="58" t="s">
        <v>20</v>
      </c>
      <c r="F9" s="59" t="s">
        <v>63</v>
      </c>
      <c r="G9" s="60" t="s">
        <v>64</v>
      </c>
      <c r="H9" s="61" t="s">
        <v>62</v>
      </c>
      <c r="I9" s="62" t="s">
        <v>65</v>
      </c>
      <c r="J9" s="63" t="s">
        <v>66</v>
      </c>
      <c r="K9" s="11" t="str">
        <f ca="1">IFERROR(_xludf.IFS(AND(B9=0,C9=0,D9=0),"★ GHOST ZERO",AND(B9=0,C9=0,D9&gt;0),"A - INERT",AND(B9=0,C9&gt;0,D9&gt;=C9,D9&lt;=C9*2),"B - ONSET",AND(B9=0,C9&gt;0,D9&lt;C9),"C - OFF-BOOK",AND(B9=0,C9&gt;0,D9&gt;C9*2),"D - DEAD",AND(B9&gt;0,D9=0,C9&gt;0,B9&gt;C9,B9&lt;C9*2),"E - BLAZE",AND(B9&gt;0,D9=0,B9&gt;C9*2),"F - TAPER",AND(B9&gt;0,D9=0,C9&gt;B9*1.5,C9&lt;B9*3),"G - SURGE",AND(B9&gt;0,C9=0,D9&gt;B9),"H - DRAIN",AND(B9&gt;0,C9=0,D9=0),"I-a STARVE-ZERO",AND(B9&gt;0,C9=0,D9&gt;0,D9&lt;B9/2),"I-b STARVE-CRITICAL",AND(B9&gt;0,C9=0,D9&gt;=B9/2,D9&lt;=B9),"I-c STARVE-WATCH",AND(B9&gt;0,C9&gt;0,D9&gt;B9*4),"J - BLOAT",AND(B9&gt;0,C9&gt;0,D9&gt;=B9*2,D9&lt;=B9*4),"K - FLOW",AND(B9&gt;0,C9&gt;0,D9&gt;0,D9&lt;B9*2),"L - PINCH",TRUE,"? - CHECK DATA"),"? - ERROR")</f>
        <v>? - ERROR</v>
      </c>
      <c r="L9" s="64" t="e">
        <f t="shared" si="0"/>
        <v>#VALUE!</v>
      </c>
      <c r="M9" s="64" t="e">
        <f t="shared" si="1"/>
        <v>#VALUE!</v>
      </c>
      <c r="N9" s="65" t="e">
        <f t="shared" ca="1" si="2"/>
        <v>#VALUE!</v>
      </c>
      <c r="O9" s="66" t="s">
        <v>67</v>
      </c>
      <c r="P9" s="60" t="s">
        <v>68</v>
      </c>
    </row>
    <row r="10" spans="1:16" ht="42" customHeight="1" x14ac:dyDescent="0.25">
      <c r="A10" s="15" t="s">
        <v>69</v>
      </c>
      <c r="B10" s="16" t="s">
        <v>70</v>
      </c>
      <c r="C10" s="17">
        <v>2000</v>
      </c>
      <c r="D10" s="17">
        <v>1000</v>
      </c>
      <c r="E10" s="17" t="s">
        <v>20</v>
      </c>
      <c r="F10" s="18" t="s">
        <v>71</v>
      </c>
      <c r="G10" s="19" t="s">
        <v>72</v>
      </c>
      <c r="H10" s="20" t="s">
        <v>70</v>
      </c>
      <c r="I10" s="21" t="s">
        <v>73</v>
      </c>
      <c r="J10" s="22" t="s">
        <v>74</v>
      </c>
      <c r="K10" s="11" t="str">
        <f ca="1">IFERROR(_xludf.IFS(AND(B10=0,C10=0,D10=0),"★ GHOST ZERO",AND(B10=0,C10=0,D10&gt;0),"A - INERT",AND(B10=0,C10&gt;0,D10&gt;=C10,D10&lt;=C10*2),"B - ONSET",AND(B10=0,C10&gt;0,D10&lt;C10),"C - OFF-BOOK",AND(B10=0,C10&gt;0,D10&gt;C10*2),"D - DEAD",AND(B10&gt;0,D10=0,C10&gt;0,B10&gt;C10,B10&lt;C10*2),"E - BLAZE",AND(B10&gt;0,D10=0,B10&gt;C10*2),"F - TAPER",AND(B10&gt;0,D10=0,C10&gt;B10*1.5,C10&lt;B10*3),"G - SURGE",AND(B10&gt;0,C10=0,D10&gt;B10),"H - DRAIN",AND(B10&gt;0,C10=0,D10=0),"I-a STARVE-ZERO",AND(B10&gt;0,C10=0,D10&gt;0,D10&lt;B10/2),"I-b STARVE-CRITICAL",AND(B10&gt;0,C10=0,D10&gt;=B10/2,D10&lt;=B10),"I-c STARVE-WATCH",AND(B10&gt;0,C10&gt;0,D10&gt;B10*4),"J - BLOAT",AND(B10&gt;0,C10&gt;0,D10&gt;=B10*2,D10&lt;=B10*4),"K - FLOW",AND(B10&gt;0,C10&gt;0,D10&gt;0,D10&lt;B10*2),"L - PINCH",TRUE,"? - CHECK DATA"),"? - ERROR")</f>
        <v>? - ERROR</v>
      </c>
      <c r="L10" s="23" t="e">
        <f t="shared" si="0"/>
        <v>#VALUE!</v>
      </c>
      <c r="M10" s="23" t="e">
        <f t="shared" si="1"/>
        <v>#VALUE!</v>
      </c>
      <c r="N10" s="24" t="e">
        <f t="shared" ca="1" si="2"/>
        <v>#VALUE!</v>
      </c>
      <c r="O10" s="67" t="s">
        <v>75</v>
      </c>
      <c r="P10" s="19" t="s">
        <v>76</v>
      </c>
    </row>
    <row r="11" spans="1:16" ht="42" customHeight="1" x14ac:dyDescent="0.25">
      <c r="A11" s="68" t="s">
        <v>77</v>
      </c>
      <c r="B11" s="57" t="s">
        <v>78</v>
      </c>
      <c r="C11" s="58">
        <v>2000</v>
      </c>
      <c r="D11" s="58">
        <v>3000</v>
      </c>
      <c r="E11" s="58" t="s">
        <v>20</v>
      </c>
      <c r="F11" s="59" t="s">
        <v>79</v>
      </c>
      <c r="G11" s="60" t="s">
        <v>80</v>
      </c>
      <c r="H11" s="69" t="s">
        <v>78</v>
      </c>
      <c r="I11" s="62" t="s">
        <v>81</v>
      </c>
      <c r="J11" s="63" t="s">
        <v>82</v>
      </c>
      <c r="K11" s="11" t="str">
        <f ca="1">IFERROR(_xludf.IFS(AND(B11=0,C11=0,D11=0),"★ GHOST ZERO",AND(B11=0,C11=0,D11&gt;0),"A - INERT",AND(B11=0,C11&gt;0,D11&gt;=C11,D11&lt;=C11*2),"B - ONSET",AND(B11=0,C11&gt;0,D11&lt;C11),"C - OFF-BOOK",AND(B11=0,C11&gt;0,D11&gt;C11*2),"D - DEAD",AND(B11&gt;0,D11=0,C11&gt;0,B11&gt;C11,B11&lt;C11*2),"E - BLAZE",AND(B11&gt;0,D11=0,B11&gt;C11*2),"F - TAPER",AND(B11&gt;0,D11=0,C11&gt;B11*1.5,C11&lt;B11*3),"G - SURGE",AND(B11&gt;0,C11=0,D11&gt;B11),"H - DRAIN",AND(B11&gt;0,C11=0,D11=0),"I-a STARVE-ZERO",AND(B11&gt;0,C11=0,D11&gt;0,D11&lt;B11/2),"I-b STARVE-CRITICAL",AND(B11&gt;0,C11=0,D11&gt;=B11/2,D11&lt;=B11),"I-c STARVE-WATCH",AND(B11&gt;0,C11&gt;0,D11&gt;B11*4),"J - BLOAT",AND(B11&gt;0,C11&gt;0,D11&gt;=B11*2,D11&lt;=B11*4),"K - FLOW",AND(B11&gt;0,C11&gt;0,D11&gt;0,D11&lt;B11*2),"L - PINCH",TRUE,"? - CHECK DATA"),"? - ERROR")</f>
        <v>? - ERROR</v>
      </c>
      <c r="L11" s="64" t="e">
        <f t="shared" si="0"/>
        <v>#VALUE!</v>
      </c>
      <c r="M11" s="64" t="e">
        <f t="shared" si="1"/>
        <v>#VALUE!</v>
      </c>
      <c r="N11" s="65" t="e">
        <f t="shared" ca="1" si="2"/>
        <v>#VALUE!</v>
      </c>
      <c r="O11" s="70" t="s">
        <v>83</v>
      </c>
      <c r="P11" s="60" t="s">
        <v>84</v>
      </c>
    </row>
    <row r="12" spans="1:16" ht="42" customHeight="1" x14ac:dyDescent="0.25">
      <c r="A12" s="71" t="s">
        <v>85</v>
      </c>
      <c r="B12" s="72" t="s">
        <v>86</v>
      </c>
      <c r="C12" s="73">
        <v>1000</v>
      </c>
      <c r="D12" s="73" t="s">
        <v>20</v>
      </c>
      <c r="E12" s="73">
        <v>3000</v>
      </c>
      <c r="F12" s="74" t="s">
        <v>87</v>
      </c>
      <c r="G12" s="75" t="s">
        <v>88</v>
      </c>
      <c r="H12" s="76" t="s">
        <v>86</v>
      </c>
      <c r="I12" s="77" t="s">
        <v>89</v>
      </c>
      <c r="J12" s="78" t="s">
        <v>90</v>
      </c>
      <c r="K12" s="11" t="str">
        <f ca="1">IFERROR(_xludf.IFS(AND(B12=0,C12=0,D12=0),"★ GHOST ZERO",AND(B12=0,C12=0,D12&gt;0),"A - INERT",AND(B12=0,C12&gt;0,D12&gt;=C12,D12&lt;=C12*2),"B - ONSET",AND(B12=0,C12&gt;0,D12&lt;C12),"C - OFF-BOOK",AND(B12=0,C12&gt;0,D12&gt;C12*2),"D - DEAD",AND(B12&gt;0,D12=0,C12&gt;0,B12&gt;C12,B12&lt;C12*2),"E - BLAZE",AND(B12&gt;0,D12=0,B12&gt;C12*2),"F - TAPER",AND(B12&gt;0,D12=0,C12&gt;B12*1.5,C12&lt;B12*3),"G - SURGE",AND(B12&gt;0,C12=0,D12&gt;B12),"H - DRAIN",AND(B12&gt;0,C12=0,D12=0),"I-a STARVE-ZERO",AND(B12&gt;0,C12=0,D12&gt;0,D12&lt;B12/2),"I-b STARVE-CRITICAL",AND(B12&gt;0,C12=0,D12&gt;=B12/2,D12&lt;=B12),"I-c STARVE-WATCH",AND(B12&gt;0,C12&gt;0,D12&gt;B12*4),"J - BLOAT",AND(B12&gt;0,C12&gt;0,D12&gt;=B12*2,D12&lt;=B12*4),"K - FLOW",AND(B12&gt;0,C12&gt;0,D12&gt;0,D12&lt;B12*2),"L - PINCH",TRUE,"? - CHECK DATA"),"? - ERROR")</f>
        <v>? - ERROR</v>
      </c>
      <c r="L12" s="79" t="e">
        <f t="shared" si="0"/>
        <v>#VALUE!</v>
      </c>
      <c r="M12" s="79" t="e">
        <f t="shared" si="1"/>
        <v>#VALUE!</v>
      </c>
      <c r="N12" s="80" t="e">
        <f t="shared" ca="1" si="2"/>
        <v>#VALUE!</v>
      </c>
      <c r="O12" s="67" t="s">
        <v>91</v>
      </c>
      <c r="P12" s="75" t="s">
        <v>92</v>
      </c>
    </row>
    <row r="13" spans="1:16" ht="42" customHeight="1" x14ac:dyDescent="0.25">
      <c r="A13" s="81" t="s">
        <v>93</v>
      </c>
      <c r="B13" s="47" t="s">
        <v>94</v>
      </c>
      <c r="C13" s="48">
        <v>1000</v>
      </c>
      <c r="D13" s="48" t="s">
        <v>20</v>
      </c>
      <c r="E13" s="48" t="s">
        <v>95</v>
      </c>
      <c r="F13" s="49" t="s">
        <v>96</v>
      </c>
      <c r="G13" s="50" t="s">
        <v>97</v>
      </c>
      <c r="H13" s="82" t="s">
        <v>98</v>
      </c>
      <c r="I13" s="52" t="s">
        <v>99</v>
      </c>
      <c r="J13" s="53" t="s">
        <v>100</v>
      </c>
      <c r="K13" s="11" t="str">
        <f ca="1">IFERROR(_xludf.IFS(AND(B13=0,C13=0,D13=0),"★ GHOST ZERO",AND(B13=0,C13=0,D13&gt;0),"A - INERT",AND(B13=0,C13&gt;0,D13&gt;=C13,D13&lt;=C13*2),"B - ONSET",AND(B13=0,C13&gt;0,D13&lt;C13),"C - OFF-BOOK",AND(B13=0,C13&gt;0,D13&gt;C13*2),"D - DEAD",AND(B13&gt;0,D13=0,C13&gt;0,B13&gt;C13,B13&lt;C13*2),"E - BLAZE",AND(B13&gt;0,D13=0,B13&gt;C13*2),"F - TAPER",AND(B13&gt;0,D13=0,C13&gt;B13*1.5,C13&lt;B13*3),"G - SURGE",AND(B13&gt;0,C13=0,D13&gt;B13),"H - DRAIN",AND(B13&gt;0,C13=0,D13=0),"I-a STARVE-ZERO",AND(B13&gt;0,C13=0,D13&gt;0,D13&lt;B13/2),"I-b STARVE-CRITICAL",AND(B13&gt;0,C13=0,D13&gt;=B13/2,D13&lt;=B13),"I-c STARVE-WATCH",AND(B13&gt;0,C13&gt;0,D13&gt;B13*4),"J - BLOAT",AND(B13&gt;0,C13&gt;0,D13&gt;=B13*2,D13&lt;=B13*4),"K - FLOW",AND(B13&gt;0,C13&gt;0,D13&gt;0,D13&lt;B13*2),"L - PINCH",TRUE,"? - CHECK DATA"),"? - ERROR")</f>
        <v>? - ERROR</v>
      </c>
      <c r="L13" s="54" t="e">
        <f t="shared" si="0"/>
        <v>#VALUE!</v>
      </c>
      <c r="M13" s="54" t="e">
        <f t="shared" si="1"/>
        <v>#VALUE!</v>
      </c>
      <c r="N13" s="55" t="e">
        <f t="shared" ca="1" si="2"/>
        <v>#VALUE!</v>
      </c>
      <c r="O13" s="70" t="s">
        <v>101</v>
      </c>
      <c r="P13" s="50" t="s">
        <v>102</v>
      </c>
    </row>
    <row r="14" spans="1:16" ht="38.1" customHeight="1" x14ac:dyDescent="0.25">
      <c r="A14" s="82" t="s">
        <v>103</v>
      </c>
      <c r="B14" s="83" t="s">
        <v>104</v>
      </c>
      <c r="C14" s="84">
        <v>1000</v>
      </c>
      <c r="D14" s="84" t="s">
        <v>20</v>
      </c>
      <c r="E14" s="84" t="s">
        <v>20</v>
      </c>
      <c r="F14" s="85" t="s">
        <v>105</v>
      </c>
      <c r="G14" s="86" t="s">
        <v>106</v>
      </c>
      <c r="H14" s="82" t="s">
        <v>107</v>
      </c>
      <c r="I14" s="87" t="s">
        <v>108</v>
      </c>
      <c r="J14" s="88" t="s">
        <v>109</v>
      </c>
      <c r="K14" s="11" t="str">
        <f ca="1">IFERROR(_xludf.IFS(AND(B14=0,C14=0,D14=0),"★ GHOST ZERO",AND(B14=0,C14=0,D14&gt;0),"A - INERT",AND(B14=0,C14&gt;0,D14&gt;=C14,D14&lt;=C14*2),"B - ONSET",AND(B14=0,C14&gt;0,D14&lt;C14),"C - OFF-BOOK",AND(B14=0,C14&gt;0,D14&gt;C14*2),"D - DEAD",AND(B14&gt;0,D14=0,C14&gt;0,B14&gt;C14,B14&lt;C14*2),"E - BLAZE",AND(B14&gt;0,D14=0,B14&gt;C14*2),"F - TAPER",AND(B14&gt;0,D14=0,C14&gt;B14*1.5,C14&lt;B14*3),"G - SURGE",AND(B14&gt;0,C14=0,D14&gt;B14),"H - DRAIN",AND(B14&gt;0,C14=0,D14=0),"I-a STARVE-ZERO",AND(B14&gt;0,C14=0,D14&gt;0,D14&lt;B14/2),"I-b STARVE-CRITICAL",AND(B14&gt;0,C14=0,D14&gt;=B14/2,D14&lt;=B14),"I-c STARVE-WATCH",AND(B14&gt;0,C14&gt;0,D14&gt;B14*4),"J - BLOAT",AND(B14&gt;0,C14&gt;0,D14&gt;=B14*2,D14&lt;=B14*4),"K - FLOW",AND(B14&gt;0,C14&gt;0,D14&gt;0,D14&lt;B14*2),"L - PINCH",TRUE,"? - CHECK DATA"),"? - ERROR")</f>
        <v>? - ERROR</v>
      </c>
      <c r="L14" s="89" t="e">
        <f t="shared" si="0"/>
        <v>#VALUE!</v>
      </c>
      <c r="M14" s="89" t="e">
        <f t="shared" si="1"/>
        <v>#VALUE!</v>
      </c>
      <c r="N14" s="90" t="e">
        <f t="shared" ca="1" si="2"/>
        <v>#VALUE!</v>
      </c>
      <c r="O14" s="70" t="s">
        <v>101</v>
      </c>
      <c r="P14" s="86" t="s">
        <v>110</v>
      </c>
    </row>
    <row r="15" spans="1:16" ht="38.1" customHeight="1" x14ac:dyDescent="0.25">
      <c r="A15" s="91" t="s">
        <v>111</v>
      </c>
      <c r="B15" s="92" t="s">
        <v>112</v>
      </c>
      <c r="C15" s="84">
        <v>1000</v>
      </c>
      <c r="D15" s="84" t="s">
        <v>20</v>
      </c>
      <c r="E15" s="84">
        <v>300</v>
      </c>
      <c r="F15" s="85" t="s">
        <v>113</v>
      </c>
      <c r="G15" s="86" t="s">
        <v>114</v>
      </c>
      <c r="H15" s="91" t="s">
        <v>115</v>
      </c>
      <c r="I15" s="87" t="s">
        <v>116</v>
      </c>
      <c r="J15" s="88" t="s">
        <v>117</v>
      </c>
      <c r="K15" s="11" t="str">
        <f ca="1">IFERROR(_xludf.IFS(AND(B15=0,C15=0,D15=0),"★ GHOST ZERO",AND(B15=0,C15=0,D15&gt;0),"A - INERT",AND(B15=0,C15&gt;0,D15&gt;=C15,D15&lt;=C15*2),"B - ONSET",AND(B15=0,C15&gt;0,D15&lt;C15),"C - OFF-BOOK",AND(B15=0,C15&gt;0,D15&gt;C15*2),"D - DEAD",AND(B15&gt;0,D15=0,C15&gt;0,B15&gt;C15,B15&lt;C15*2),"E - BLAZE",AND(B15&gt;0,D15=0,B15&gt;C15*2),"F - TAPER",AND(B15&gt;0,D15=0,C15&gt;B15*1.5,C15&lt;B15*3),"G - SURGE",AND(B15&gt;0,C15=0,D15&gt;B15),"H - DRAIN",AND(B15&gt;0,C15=0,D15=0),"I-a STARVE-ZERO",AND(B15&gt;0,C15=0,D15&gt;0,D15&lt;B15/2),"I-b STARVE-CRITICAL",AND(B15&gt;0,C15=0,D15&gt;=B15/2,D15&lt;=B15),"I-c STARVE-WATCH",AND(B15&gt;0,C15&gt;0,D15&gt;B15*4),"J - BLOAT",AND(B15&gt;0,C15&gt;0,D15&gt;=B15*2,D15&lt;=B15*4),"K - FLOW",AND(B15&gt;0,C15&gt;0,D15&gt;0,D15&lt;B15*2),"L - PINCH",TRUE,"? - CHECK DATA"),"? - ERROR")</f>
        <v>? - ERROR</v>
      </c>
      <c r="L15" s="89" t="e">
        <f t="shared" si="0"/>
        <v>#VALUE!</v>
      </c>
      <c r="M15" s="89" t="e">
        <f t="shared" si="1"/>
        <v>#VALUE!</v>
      </c>
      <c r="N15" s="90" t="e">
        <f t="shared" ca="1" si="2"/>
        <v>#VALUE!</v>
      </c>
      <c r="O15" s="70" t="s">
        <v>101</v>
      </c>
      <c r="P15" s="86" t="s">
        <v>118</v>
      </c>
    </row>
    <row r="16" spans="1:16" ht="38.1" customHeight="1" x14ac:dyDescent="0.25">
      <c r="A16" s="93" t="s">
        <v>119</v>
      </c>
      <c r="B16" s="94" t="s">
        <v>120</v>
      </c>
      <c r="C16" s="95">
        <v>1000</v>
      </c>
      <c r="D16" s="95" t="s">
        <v>20</v>
      </c>
      <c r="E16" s="95">
        <v>700</v>
      </c>
      <c r="F16" s="96" t="s">
        <v>121</v>
      </c>
      <c r="G16" s="97" t="s">
        <v>122</v>
      </c>
      <c r="H16" s="93" t="s">
        <v>123</v>
      </c>
      <c r="I16" s="98" t="s">
        <v>124</v>
      </c>
      <c r="J16" s="99" t="s">
        <v>125</v>
      </c>
      <c r="K16" s="11" t="str">
        <f ca="1">IFERROR(_xludf.IFS(AND(B16=0,C16=0,D16=0),"★ GHOST ZERO",AND(B16=0,C16=0,D16&gt;0),"A - INERT",AND(B16=0,C16&gt;0,D16&gt;=C16,D16&lt;=C16*2),"B - ONSET",AND(B16=0,C16&gt;0,D16&lt;C16),"C - OFF-BOOK",AND(B16=0,C16&gt;0,D16&gt;C16*2),"D - DEAD",AND(B16&gt;0,D16=0,C16&gt;0,B16&gt;C16,B16&lt;C16*2),"E - BLAZE",AND(B16&gt;0,D16=0,B16&gt;C16*2),"F - TAPER",AND(B16&gt;0,D16=0,C16&gt;B16*1.5,C16&lt;B16*3),"G - SURGE",AND(B16&gt;0,C16=0,D16&gt;B16),"H - DRAIN",AND(B16&gt;0,C16=0,D16=0),"I-a STARVE-ZERO",AND(B16&gt;0,C16=0,D16&gt;0,D16&lt;B16/2),"I-b STARVE-CRITICAL",AND(B16&gt;0,C16=0,D16&gt;=B16/2,D16&lt;=B16),"I-c STARVE-WATCH",AND(B16&gt;0,C16&gt;0,D16&gt;B16*4),"J - BLOAT",AND(B16&gt;0,C16&gt;0,D16&gt;=B16*2,D16&lt;=B16*4),"K - FLOW",AND(B16&gt;0,C16&gt;0,D16&gt;0,D16&lt;B16*2),"L - PINCH",TRUE,"? - CHECK DATA"),"? - ERROR")</f>
        <v>? - ERROR</v>
      </c>
      <c r="L16" s="54" t="e">
        <f t="shared" si="0"/>
        <v>#VALUE!</v>
      </c>
      <c r="M16" s="54" t="e">
        <f t="shared" si="1"/>
        <v>#VALUE!</v>
      </c>
      <c r="N16" s="55" t="e">
        <f t="shared" ca="1" si="2"/>
        <v>#VALUE!</v>
      </c>
      <c r="O16" s="70" t="s">
        <v>101</v>
      </c>
      <c r="P16" s="97" t="s">
        <v>126</v>
      </c>
    </row>
    <row r="17" spans="1:16" ht="42" customHeight="1" x14ac:dyDescent="0.25">
      <c r="A17" s="100" t="s">
        <v>127</v>
      </c>
      <c r="B17" s="101" t="s">
        <v>128</v>
      </c>
      <c r="C17" s="102">
        <v>2000</v>
      </c>
      <c r="D17" s="102">
        <v>1000</v>
      </c>
      <c r="E17" s="102">
        <v>10000</v>
      </c>
      <c r="F17" s="147" t="s">
        <v>184</v>
      </c>
      <c r="G17" s="103" t="s">
        <v>129</v>
      </c>
      <c r="H17" s="104" t="s">
        <v>130</v>
      </c>
      <c r="I17" s="105" t="s">
        <v>131</v>
      </c>
      <c r="J17" s="106" t="s">
        <v>132</v>
      </c>
      <c r="K17" s="11" t="str">
        <f ca="1">IFERROR(_xludf.IFS(AND(B17=0,C17=0,D17=0),"★ GHOST ZERO",AND(B17=0,C17=0,D17&gt;0),"A - INERT",AND(B17=0,C17&gt;0,D17&gt;=C17,D17&lt;=C17*2),"B - ONSET",AND(B17=0,C17&gt;0,D17&lt;C17),"C - OFF-BOOK",AND(B17=0,C17&gt;0,D17&gt;C17*2),"D - DEAD",AND(B17&gt;0,D17=0,C17&gt;0,B17&gt;C17,B17&lt;C17*2),"E - BLAZE",AND(B17&gt;0,D17=0,B17&gt;C17*2),"F - TAPER",AND(B17&gt;0,D17=0,C17&gt;B17*1.5,C17&lt;B17*3),"G - SURGE",AND(B17&gt;0,C17=0,D17&gt;B17),"H - DRAIN",AND(B17&gt;0,C17=0,D17=0),"I-a STARVE-ZERO",AND(B17&gt;0,C17=0,D17&gt;0,D17&lt;B17/2),"I-b STARVE-CRITICAL",AND(B17&gt;0,C17=0,D17&gt;=B17/2,D17&lt;=B17),"I-c STARVE-WATCH",AND(B17&gt;0,C17&gt;0,D17&gt;B17*4),"J - BLOAT",AND(B17&gt;0,C17&gt;0,D17&gt;=B17*2,D17&lt;=B17*4),"K - FLOW",AND(B17&gt;0,C17&gt;0,D17&gt;0,D17&lt;B17*2),"L - PINCH",TRUE,"? - CHECK DATA"),"? - ERROR")</f>
        <v>? - ERROR</v>
      </c>
      <c r="L17" s="107" t="e">
        <f>IF(B17&gt;0,B17*2,"-")</f>
        <v>#VALUE!</v>
      </c>
      <c r="M17" s="107" t="e">
        <f t="shared" si="1"/>
        <v>#VALUE!</v>
      </c>
      <c r="N17" s="108" t="e">
        <f t="shared" ca="1" si="2"/>
        <v>#VALUE!</v>
      </c>
      <c r="O17" s="14" t="s">
        <v>133</v>
      </c>
      <c r="P17" s="103" t="s">
        <v>134</v>
      </c>
    </row>
    <row r="18" spans="1:16" ht="42" customHeight="1" x14ac:dyDescent="0.25">
      <c r="A18" s="109" t="s">
        <v>135</v>
      </c>
      <c r="B18" s="110" t="s">
        <v>136</v>
      </c>
      <c r="C18" s="111">
        <v>2000</v>
      </c>
      <c r="D18" s="111">
        <v>1500</v>
      </c>
      <c r="E18" s="111">
        <v>5000</v>
      </c>
      <c r="F18" s="148" t="s">
        <v>185</v>
      </c>
      <c r="G18" s="112" t="s">
        <v>137</v>
      </c>
      <c r="H18" s="113" t="s">
        <v>138</v>
      </c>
      <c r="I18" s="114" t="s">
        <v>139</v>
      </c>
      <c r="J18" s="115" t="s">
        <v>140</v>
      </c>
      <c r="K18" s="11" t="str">
        <f ca="1">IFERROR(_xludf.IFS(AND(B18=0,C18=0,D18=0),"★ GHOST ZERO",AND(B18=0,C18=0,D18&gt;0),"A - INERT",AND(B18=0,C18&gt;0,D18&gt;=C18,D18&lt;=C18*2),"B - ONSET",AND(B18=0,C18&gt;0,D18&lt;C18),"C - OFF-BOOK",AND(B18=0,C18&gt;0,D18&gt;C18*2),"D - DEAD",AND(B18&gt;0,D18=0,C18&gt;0,B18&gt;C18,B18&lt;C18*2),"E - BLAZE",AND(B18&gt;0,D18=0,B18&gt;C18*2),"F - TAPER",AND(B18&gt;0,D18=0,C18&gt;B18*1.5,C18&lt;B18*3),"G - SURGE",AND(B18&gt;0,C18=0,D18&gt;B18),"H - DRAIN",AND(B18&gt;0,C18=0,D18=0),"I-a STARVE-ZERO",AND(B18&gt;0,C18=0,D18&gt;0,D18&lt;B18/2),"I-b STARVE-CRITICAL",AND(B18&gt;0,C18=0,D18&gt;=B18/2,D18&lt;=B18),"I-c STARVE-WATCH",AND(B18&gt;0,C18&gt;0,D18&gt;B18*4),"J - BLOAT",AND(B18&gt;0,C18&gt;0,D18&gt;=B18*2,D18&lt;=B18*4),"K - FLOW",AND(B18&gt;0,C18&gt;0,D18&gt;0,D18&lt;B18*2),"L - PINCH",TRUE,"? - CHECK DATA"),"? - ERROR")</f>
        <v>? - ERROR</v>
      </c>
      <c r="L18" s="116" t="e">
        <f t="shared" si="0"/>
        <v>#VALUE!</v>
      </c>
      <c r="M18" s="116" t="e">
        <f t="shared" si="1"/>
        <v>#VALUE!</v>
      </c>
      <c r="N18" s="117" t="e">
        <f t="shared" ca="1" si="2"/>
        <v>#VALUE!</v>
      </c>
      <c r="O18" s="66" t="s">
        <v>67</v>
      </c>
      <c r="P18" s="112" t="s">
        <v>141</v>
      </c>
    </row>
    <row r="19" spans="1:16" ht="42" customHeight="1" x14ac:dyDescent="0.25">
      <c r="A19" s="118" t="s">
        <v>142</v>
      </c>
      <c r="B19" s="119" t="s">
        <v>143</v>
      </c>
      <c r="C19" s="120">
        <v>2000</v>
      </c>
      <c r="D19" s="120">
        <v>1000</v>
      </c>
      <c r="E19" s="120">
        <v>2000</v>
      </c>
      <c r="F19" s="149" t="s">
        <v>186</v>
      </c>
      <c r="G19" s="121" t="s">
        <v>144</v>
      </c>
      <c r="H19" s="122" t="s">
        <v>145</v>
      </c>
      <c r="I19" s="123" t="s">
        <v>146</v>
      </c>
      <c r="J19" s="124" t="s">
        <v>147</v>
      </c>
      <c r="K19" s="11" t="str">
        <f ca="1">IFERROR(_xludf.IFS(AND(B19=0,C19=0,D19=0),"★ GHOST ZERO",AND(B19=0,C19=0,D19&gt;0),"A - INERT",AND(B19=0,C19&gt;0,D19&gt;=C19,D19&lt;=C19*2),"B - ONSET",AND(B19=0,C19&gt;0,D19&lt;C19),"C - OFF-BOOK",AND(B19=0,C19&gt;0,D19&gt;C19*2),"D - DEAD",AND(B19&gt;0,D19=0,C19&gt;0,B19&gt;C19,B19&lt;C19*2),"E - BLAZE",AND(B19&gt;0,D19=0,B19&gt;C19*2),"F - TAPER",AND(B19&gt;0,D19=0,C19&gt;B19*1.5,C19&lt;B19*3),"G - SURGE",AND(B19&gt;0,C19=0,D19&gt;B19),"H - DRAIN",AND(B19&gt;0,C19=0,D19=0),"I-a STARVE-ZERO",AND(B19&gt;0,C19=0,D19&gt;0,D19&lt;B19/2),"I-b STARVE-CRITICAL",AND(B19&gt;0,C19=0,D19&gt;=B19/2,D19&lt;=B19),"I-c STARVE-WATCH",AND(B19&gt;0,C19&gt;0,D19&gt;B19*4),"J - BLOAT",AND(B19&gt;0,C19&gt;0,D19&gt;=B19*2,D19&lt;=B19*4),"K - FLOW",AND(B19&gt;0,C19&gt;0,D19&gt;0,D19&lt;B19*2),"L - PINCH",TRUE,"? - CHECK DATA"),"? - ERROR")</f>
        <v>? - ERROR</v>
      </c>
      <c r="L19" s="125" t="e">
        <f t="shared" si="0"/>
        <v>#VALUE!</v>
      </c>
      <c r="M19" s="125" t="e">
        <f t="shared" si="1"/>
        <v>#VALUE!</v>
      </c>
      <c r="N19" s="126" t="e">
        <f t="shared" ca="1" si="2"/>
        <v>#VALUE!</v>
      </c>
      <c r="O19" s="70" t="s">
        <v>148</v>
      </c>
      <c r="P19" s="121" t="s">
        <v>149</v>
      </c>
    </row>
    <row r="21" spans="1:16" ht="21.95" customHeight="1" x14ac:dyDescent="0.25">
      <c r="A21" s="144" t="s">
        <v>150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</row>
    <row r="22" spans="1:16" ht="20.100000000000001" customHeight="1" x14ac:dyDescent="0.25">
      <c r="A22" s="127" t="s">
        <v>151</v>
      </c>
      <c r="B22" s="127" t="s">
        <v>152</v>
      </c>
      <c r="C22" s="127" t="s">
        <v>153</v>
      </c>
      <c r="D22" s="127" t="s">
        <v>154</v>
      </c>
    </row>
    <row r="23" spans="1:16" ht="30" customHeight="1" x14ac:dyDescent="0.25">
      <c r="A23" s="128" t="s">
        <v>155</v>
      </c>
      <c r="B23" s="129" t="s">
        <v>156</v>
      </c>
      <c r="C23" s="130" t="s">
        <v>157</v>
      </c>
      <c r="D23" s="130" t="s">
        <v>158</v>
      </c>
    </row>
    <row r="24" spans="1:16" ht="30" customHeight="1" x14ac:dyDescent="0.25">
      <c r="A24" s="131" t="s">
        <v>159</v>
      </c>
      <c r="B24" s="132" t="s">
        <v>160</v>
      </c>
      <c r="C24" s="130" t="s">
        <v>161</v>
      </c>
      <c r="D24" s="130" t="s">
        <v>162</v>
      </c>
    </row>
    <row r="25" spans="1:16" ht="30" customHeight="1" x14ac:dyDescent="0.25">
      <c r="A25" s="133" t="s">
        <v>163</v>
      </c>
      <c r="B25" s="134" t="s">
        <v>164</v>
      </c>
      <c r="C25" s="130" t="s">
        <v>165</v>
      </c>
      <c r="D25" s="130" t="s">
        <v>166</v>
      </c>
    </row>
    <row r="26" spans="1:16" ht="30" customHeight="1" x14ac:dyDescent="0.25">
      <c r="A26" s="135" t="s">
        <v>167</v>
      </c>
      <c r="B26" s="136" t="s">
        <v>168</v>
      </c>
      <c r="C26" s="130" t="s">
        <v>169</v>
      </c>
      <c r="D26" s="130" t="s">
        <v>170</v>
      </c>
    </row>
    <row r="27" spans="1:16" ht="30" customHeight="1" x14ac:dyDescent="0.25">
      <c r="A27" s="137" t="s">
        <v>171</v>
      </c>
      <c r="B27" s="138" t="s">
        <v>172</v>
      </c>
      <c r="C27" s="130" t="s">
        <v>173</v>
      </c>
      <c r="D27" s="130" t="s">
        <v>174</v>
      </c>
    </row>
    <row r="28" spans="1:16" ht="30" customHeight="1" x14ac:dyDescent="0.25">
      <c r="A28" s="11" t="s">
        <v>175</v>
      </c>
      <c r="B28" s="139" t="s">
        <v>176</v>
      </c>
      <c r="C28" s="130" t="s">
        <v>177</v>
      </c>
      <c r="D28" s="130" t="s">
        <v>178</v>
      </c>
    </row>
    <row r="29" spans="1:16" ht="30" customHeight="1" x14ac:dyDescent="0.25">
      <c r="A29" s="140" t="s">
        <v>179</v>
      </c>
      <c r="B29" s="141" t="s">
        <v>180</v>
      </c>
      <c r="C29" s="130" t="s">
        <v>181</v>
      </c>
      <c r="D29" s="130" t="s">
        <v>182</v>
      </c>
    </row>
    <row r="31" spans="1:16" ht="32.1" customHeight="1" x14ac:dyDescent="0.25">
      <c r="A31" s="145" t="s">
        <v>183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</row>
  </sheetData>
  <mergeCells count="4">
    <mergeCell ref="A1:P1"/>
    <mergeCell ref="A21:P21"/>
    <mergeCell ref="A31:P3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Baid</cp:lastModifiedBy>
  <dcterms:created xsi:type="dcterms:W3CDTF">2026-04-28T11:55:36Z</dcterms:created>
  <dcterms:modified xsi:type="dcterms:W3CDTF">2026-04-28T13:06:33Z</dcterms:modified>
</cp:coreProperties>
</file>